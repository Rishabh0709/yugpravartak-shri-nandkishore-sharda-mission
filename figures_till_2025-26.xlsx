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ANIDWEEP\manidweep trust's work\updates for website\manidweep_latest_website\"/>
    </mc:Choice>
  </mc:AlternateContent>
  <bookViews>
    <workbookView xWindow="0" yWindow="0" windowWidth="19200" windowHeight="731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<sst xmlns="http://schemas.openxmlformats.org/spreadsheetml/2006/main" count="71" uniqueCount="35">
  <si>
    <t>Cumulative Data</t>
  </si>
  <si>
    <t>Session</t>
  </si>
  <si>
    <t>Girls</t>
  </si>
  <si>
    <t>Amount(in Lakhs)</t>
  </si>
  <si>
    <t>1996-00</t>
  </si>
  <si>
    <t>2000-04</t>
  </si>
  <si>
    <t>2004-08</t>
  </si>
  <si>
    <t>2008-12</t>
  </si>
  <si>
    <t>2012-16</t>
  </si>
  <si>
    <t>2016-20</t>
  </si>
  <si>
    <t>2020-24</t>
  </si>
  <si>
    <t>2024-26</t>
  </si>
  <si>
    <t>School Education For Girls - Swami Vivekanand Students Welfare Charitable Trust</t>
  </si>
  <si>
    <t>Higher education for young women - Maa Shardamani Trust</t>
  </si>
  <si>
    <t>2001-05</t>
  </si>
  <si>
    <t>2005-09</t>
  </si>
  <si>
    <t>2009-13</t>
  </si>
  <si>
    <t>2013-17</t>
  </si>
  <si>
    <t>2017-21</t>
  </si>
  <si>
    <t>2021-25</t>
  </si>
  <si>
    <t>2025-26</t>
  </si>
  <si>
    <t>Boys</t>
  </si>
  <si>
    <t>2012-14</t>
  </si>
  <si>
    <t>2014-16</t>
  </si>
  <si>
    <t>2016-18</t>
  </si>
  <si>
    <t>2018-20</t>
  </si>
  <si>
    <t>2020-22</t>
  </si>
  <si>
    <t>2022-24</t>
  </si>
  <si>
    <t>Education support for boys - Gyanyogi Shree Nandkishore Sharda Adhyatma Kendra</t>
  </si>
  <si>
    <t>2020-21</t>
  </si>
  <si>
    <t>2021-22</t>
  </si>
  <si>
    <t>2022-23</t>
  </si>
  <si>
    <t>2023-24</t>
  </si>
  <si>
    <t>2024-25</t>
  </si>
  <si>
    <t>Ration Distribution - Gyanyogi Shree Nandkishore Sharda Adhyatma Kendra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</si>
</sst>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Cumulative number of girl students</a:t>
            </a:r>
            <a:endParaRPr lang="en-US" sz="1100" b="1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4118298210071221"/>
          <c:y val="0.89428723436597435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8937007874016"/>
          <c:y val="6.8634441528142312E-2"/>
          <c:w val="0.81365507436570428"/>
          <c:h val="0.65005395158938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[1]SVSWCT!$M$5</c:f>
              <c:strCache>
                <c:ptCount val="1"/>
                <c:pt idx="0">
                  <c:v>Girls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[1]SVSWCT!$L$6:$L$13</c:f>
              <c:strCache>
                <c:ptCount val="8"/>
                <c:pt idx="0">
                  <c:v>1996-00</c:v>
                </c:pt>
                <c:pt idx="1">
                  <c:v>2000-04</c:v>
                </c:pt>
                <c:pt idx="2">
                  <c:v>2004-08</c:v>
                </c:pt>
                <c:pt idx="3">
                  <c:v>2008-12</c:v>
                </c:pt>
                <c:pt idx="4">
                  <c:v>2012-16</c:v>
                </c:pt>
                <c:pt idx="5">
                  <c:v>2016-20</c:v>
                </c:pt>
                <c:pt idx="6">
                  <c:v>2020-24</c:v>
                </c:pt>
                <c:pt idx="7">
                  <c:v>2024-26</c:v>
                </c:pt>
              </c:strCache>
            </c:strRef>
          </c:cat>
          <c:val>
            <c:numRef>
              <c:f>[1]SVSWCT!$M$6:$M$13</c:f>
              <c:numCache>
                <c:formatCode>General</c:formatCode>
                <c:ptCount val="8"/>
                <c:pt idx="0">
                  <c:v>6328</c:v>
                </c:pt>
                <c:pt idx="1">
                  <c:v>11557</c:v>
                </c:pt>
                <c:pt idx="2">
                  <c:v>15453</c:v>
                </c:pt>
                <c:pt idx="3">
                  <c:v>18993</c:v>
                </c:pt>
                <c:pt idx="4">
                  <c:v>22453</c:v>
                </c:pt>
                <c:pt idx="5">
                  <c:v>27032</c:v>
                </c:pt>
                <c:pt idx="6">
                  <c:v>33233</c:v>
                </c:pt>
                <c:pt idx="7">
                  <c:v>37381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00612048"/>
        <c:axId val="-500609328"/>
      </c:barChart>
      <c:catAx>
        <c:axId val="-50061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rgbClr val="FF0000"/>
                    </a:solidFill>
                  </a:rPr>
                  <a:t>Year</a:t>
                </a:r>
                <a:endParaRPr lang="en-US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8834621828526333E-2"/>
              <c:y val="0.7757636883485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0609328"/>
        <c:crosses val="autoZero"/>
        <c:auto val="1"/>
        <c:lblAlgn val="ctr"/>
        <c:lblOffset val="100"/>
        <c:noMultiLvlLbl val="0"/>
      </c:catAx>
      <c:valAx>
        <c:axId val="-500609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rgbClr val="FF0000"/>
                    </a:solidFill>
                  </a:rPr>
                  <a:t>Cum. number of girl students</a:t>
                </a:r>
                <a:endParaRPr lang="en-US" sz="7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0612048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Accumulated scholarship amount</a:t>
            </a:r>
            <a:endParaRPr lang="en-US" sz="1100" b="1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7998968381651856"/>
          <c:y val="0.89814817602866559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8937007874016"/>
          <c:y val="6.8634441528142312E-2"/>
          <c:w val="0.81365507436570428"/>
          <c:h val="0.65005395158938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[1]SVSWCT!$P$5</c:f>
              <c:strCache>
                <c:ptCount val="1"/>
                <c:pt idx="0">
                  <c:v>Amount(in Lakhs)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[1]SVSWCT!$O$6:$O$13</c:f>
              <c:strCache>
                <c:ptCount val="8"/>
                <c:pt idx="0">
                  <c:v>1996-00</c:v>
                </c:pt>
                <c:pt idx="1">
                  <c:v>2000-04</c:v>
                </c:pt>
                <c:pt idx="2">
                  <c:v>2004-08</c:v>
                </c:pt>
                <c:pt idx="3">
                  <c:v>2008-12</c:v>
                </c:pt>
                <c:pt idx="4">
                  <c:v>2012-16</c:v>
                </c:pt>
                <c:pt idx="5">
                  <c:v>2016-20</c:v>
                </c:pt>
                <c:pt idx="6">
                  <c:v>2020-24</c:v>
                </c:pt>
                <c:pt idx="7">
                  <c:v>2024-26</c:v>
                </c:pt>
              </c:strCache>
            </c:strRef>
          </c:cat>
          <c:val>
            <c:numRef>
              <c:f>[1]SVSWCT!$P$6:$P$13</c:f>
              <c:numCache>
                <c:formatCode>0.00</c:formatCode>
                <c:ptCount val="8"/>
                <c:pt idx="0">
                  <c:v>27.281289999999998</c:v>
                </c:pt>
                <c:pt idx="1">
                  <c:v>58.575139999999998</c:v>
                </c:pt>
                <c:pt idx="2">
                  <c:v>80.124440000000007</c:v>
                </c:pt>
                <c:pt idx="3">
                  <c:v>105.41704</c:v>
                </c:pt>
                <c:pt idx="4">
                  <c:v>152.80153999999999</c:v>
                </c:pt>
                <c:pt idx="5">
                  <c:v>229.67634000000001</c:v>
                </c:pt>
                <c:pt idx="6">
                  <c:v>347.74968999999999</c:v>
                </c:pt>
                <c:pt idx="7">
                  <c:v>450.84224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500623472"/>
        <c:axId val="-500621840"/>
      </c:barChart>
      <c:catAx>
        <c:axId val="-50062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rgbClr val="FF0000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8.5999935816022346E-2"/>
              <c:y val="0.77107629732019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0621840"/>
        <c:crosses val="autoZero"/>
        <c:auto val="1"/>
        <c:lblAlgn val="ctr"/>
        <c:lblOffset val="100"/>
        <c:noMultiLvlLbl val="0"/>
      </c:catAx>
      <c:valAx>
        <c:axId val="-50062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rgbClr val="FF0000"/>
                    </a:solidFill>
                  </a:rPr>
                  <a:t>Accumulated Amount (in Lakh)</a:t>
                </a:r>
                <a:endParaRPr lang="en-US" sz="7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0623472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Cumulative number of girl students</a:t>
            </a:r>
            <a:endParaRPr lang="en-US" sz="1100" b="1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4118298210071221"/>
          <c:y val="0.89428723436597435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8937007874016"/>
          <c:y val="6.8634441528142312E-2"/>
          <c:w val="0.81365507436570428"/>
          <c:h val="0.65005395158938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'[1]Maa Shardamani'!$M$5</c:f>
              <c:strCache>
                <c:ptCount val="1"/>
                <c:pt idx="0">
                  <c:v>Girls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'[1]Maa Shardamani'!$L$6:$L$12</c:f>
              <c:strCache>
                <c:ptCount val="7"/>
                <c:pt idx="0">
                  <c:v>2001-05</c:v>
                </c:pt>
                <c:pt idx="1">
                  <c:v>2005-09</c:v>
                </c:pt>
                <c:pt idx="2">
                  <c:v>2009-13</c:v>
                </c:pt>
                <c:pt idx="3">
                  <c:v>2013-17</c:v>
                </c:pt>
                <c:pt idx="4">
                  <c:v>2017-21</c:v>
                </c:pt>
                <c:pt idx="5">
                  <c:v>2021-25</c:v>
                </c:pt>
                <c:pt idx="6">
                  <c:v>2025-26</c:v>
                </c:pt>
              </c:strCache>
            </c:strRef>
          </c:cat>
          <c:val>
            <c:numRef>
              <c:f>'[1]Maa Shardamani'!$M$6:$M$12</c:f>
              <c:numCache>
                <c:formatCode>General</c:formatCode>
                <c:ptCount val="7"/>
                <c:pt idx="0">
                  <c:v>105</c:v>
                </c:pt>
                <c:pt idx="1">
                  <c:v>171</c:v>
                </c:pt>
                <c:pt idx="2">
                  <c:v>640</c:v>
                </c:pt>
                <c:pt idx="3">
                  <c:v>1417</c:v>
                </c:pt>
                <c:pt idx="4">
                  <c:v>2240</c:v>
                </c:pt>
                <c:pt idx="5">
                  <c:v>3109</c:v>
                </c:pt>
                <c:pt idx="6">
                  <c:v>3405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6372832"/>
        <c:axId val="-490793056"/>
      </c:barChart>
      <c:catAx>
        <c:axId val="-74637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rgbClr val="FF0000"/>
                    </a:solidFill>
                  </a:rPr>
                  <a:t>Year</a:t>
                </a:r>
                <a:endParaRPr lang="en-US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8834621828526333E-2"/>
              <c:y val="0.7757636883485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93056"/>
        <c:crosses val="autoZero"/>
        <c:auto val="1"/>
        <c:lblAlgn val="ctr"/>
        <c:lblOffset val="100"/>
        <c:noMultiLvlLbl val="0"/>
      </c:catAx>
      <c:valAx>
        <c:axId val="-490793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rgbClr val="FF0000"/>
                    </a:solidFill>
                  </a:rPr>
                  <a:t>Cum. number of girl students</a:t>
                </a:r>
                <a:endParaRPr lang="en-US" sz="7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46372832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Accumulated scholarship amount</a:t>
            </a:r>
            <a:endParaRPr lang="en-US" sz="1100" b="1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7998968381651856"/>
          <c:y val="0.89814817602866559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8937007874016"/>
          <c:y val="6.8634441528142312E-2"/>
          <c:w val="0.81365507436570428"/>
          <c:h val="0.65005395158938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'[1]Maa Shardamani'!$P$5</c:f>
              <c:strCache>
                <c:ptCount val="1"/>
                <c:pt idx="0">
                  <c:v>Amount(in Lakhs)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'[1]Maa Shardamani'!$O$6:$O$12</c:f>
              <c:strCache>
                <c:ptCount val="7"/>
                <c:pt idx="0">
                  <c:v>2001-05</c:v>
                </c:pt>
                <c:pt idx="1">
                  <c:v>2005-09</c:v>
                </c:pt>
                <c:pt idx="2">
                  <c:v>2009-13</c:v>
                </c:pt>
                <c:pt idx="3">
                  <c:v>2013-17</c:v>
                </c:pt>
                <c:pt idx="4">
                  <c:v>2017-21</c:v>
                </c:pt>
                <c:pt idx="5">
                  <c:v>2021-25</c:v>
                </c:pt>
                <c:pt idx="6">
                  <c:v>2025-26</c:v>
                </c:pt>
              </c:strCache>
            </c:strRef>
          </c:cat>
          <c:val>
            <c:numRef>
              <c:f>'[1]Maa Shardamani'!$P$6:$P$12</c:f>
              <c:numCache>
                <c:formatCode>0.00</c:formatCode>
                <c:ptCount val="7"/>
                <c:pt idx="0">
                  <c:v>1.329</c:v>
                </c:pt>
                <c:pt idx="1">
                  <c:v>2.7711999999999999</c:v>
                </c:pt>
                <c:pt idx="2">
                  <c:v>11.461399999999999</c:v>
                </c:pt>
                <c:pt idx="3">
                  <c:v>33.573399999999999</c:v>
                </c:pt>
                <c:pt idx="4">
                  <c:v>70.285899999999998</c:v>
                </c:pt>
                <c:pt idx="5">
                  <c:v>141.4059</c:v>
                </c:pt>
                <c:pt idx="6">
                  <c:v>164.56451000000001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0783808"/>
        <c:axId val="-490785984"/>
      </c:barChart>
      <c:catAx>
        <c:axId val="-49078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rgbClr val="FF0000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8.5999935816022346E-2"/>
              <c:y val="0.77107629732019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85984"/>
        <c:crosses val="autoZero"/>
        <c:auto val="1"/>
        <c:lblAlgn val="ctr"/>
        <c:lblOffset val="100"/>
        <c:noMultiLvlLbl val="0"/>
      </c:catAx>
      <c:valAx>
        <c:axId val="-490785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rgbClr val="FF0000"/>
                    </a:solidFill>
                  </a:rPr>
                  <a:t>Accumulated Amount (in Lakh)</a:t>
                </a:r>
                <a:endParaRPr lang="en-US" sz="7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83808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Cumulative number of girl students</a:t>
            </a:r>
            <a:endParaRPr lang="en-US" sz="1100" b="1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4118298210071221"/>
          <c:y val="0.89428723436597435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8937007874016"/>
          <c:y val="6.8634441528142312E-2"/>
          <c:w val="0.81365507436570428"/>
          <c:h val="0.65005395158938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'[1]Adhyatam Kendra'!$M$5</c:f>
              <c:strCache>
                <c:ptCount val="1"/>
                <c:pt idx="0">
                  <c:v>Boys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'[1]Adhyatam Kendra'!$L$6:$L$12</c:f>
              <c:strCache>
                <c:ptCount val="7"/>
                <c:pt idx="0">
                  <c:v>2012-14</c:v>
                </c:pt>
                <c:pt idx="1">
                  <c:v>2014-16</c:v>
                </c:pt>
                <c:pt idx="2">
                  <c:v>2016-18</c:v>
                </c:pt>
                <c:pt idx="3">
                  <c:v>2018-20</c:v>
                </c:pt>
                <c:pt idx="4">
                  <c:v>2020-22</c:v>
                </c:pt>
                <c:pt idx="5">
                  <c:v>2022-24</c:v>
                </c:pt>
                <c:pt idx="6">
                  <c:v>2024-26</c:v>
                </c:pt>
              </c:strCache>
            </c:strRef>
          </c:cat>
          <c:val>
            <c:numRef>
              <c:f>'[1]Adhyatam Kendra'!$M$6:$M$12</c:f>
              <c:numCache>
                <c:formatCode>General</c:formatCode>
                <c:ptCount val="7"/>
                <c:pt idx="0">
                  <c:v>68</c:v>
                </c:pt>
                <c:pt idx="1">
                  <c:v>144</c:v>
                </c:pt>
                <c:pt idx="2">
                  <c:v>263</c:v>
                </c:pt>
                <c:pt idx="3">
                  <c:v>362</c:v>
                </c:pt>
                <c:pt idx="4">
                  <c:v>456</c:v>
                </c:pt>
                <c:pt idx="5">
                  <c:v>532</c:v>
                </c:pt>
                <c:pt idx="6">
                  <c:v>631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0790336"/>
        <c:axId val="-490784352"/>
      </c:barChart>
      <c:catAx>
        <c:axId val="-49079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rgbClr val="FF0000"/>
                    </a:solidFill>
                  </a:rPr>
                  <a:t>Year</a:t>
                </a:r>
                <a:endParaRPr lang="en-US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8834621828526333E-2"/>
              <c:y val="0.77576368834852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84352"/>
        <c:crosses val="autoZero"/>
        <c:auto val="1"/>
        <c:lblAlgn val="ctr"/>
        <c:lblOffset val="100"/>
        <c:noMultiLvlLbl val="0"/>
      </c:catAx>
      <c:valAx>
        <c:axId val="-49078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rgbClr val="FF0000"/>
                    </a:solidFill>
                  </a:rPr>
                  <a:t>Cum. number of boy students</a:t>
                </a:r>
                <a:endParaRPr lang="en-US" sz="7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90336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Accumulated scholarship amount</a:t>
            </a:r>
            <a:endParaRPr lang="en-US" sz="1100" b="1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7998968381651856"/>
          <c:y val="0.89814817602866559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8937007874016"/>
          <c:y val="6.8634441528142312E-2"/>
          <c:w val="0.81365507436570428"/>
          <c:h val="0.650053951589384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'[1]Adhyatam Kendra'!$P$5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'[1]Adhyatam Kendra'!$O$6:$O$12</c:f>
              <c:strCache>
                <c:ptCount val="7"/>
                <c:pt idx="0">
                  <c:v>2012-14</c:v>
                </c:pt>
                <c:pt idx="1">
                  <c:v>2014-16</c:v>
                </c:pt>
                <c:pt idx="2">
                  <c:v>2016-18</c:v>
                </c:pt>
                <c:pt idx="3">
                  <c:v>2018-20</c:v>
                </c:pt>
                <c:pt idx="4">
                  <c:v>2020-22</c:v>
                </c:pt>
                <c:pt idx="5">
                  <c:v>2022-24</c:v>
                </c:pt>
                <c:pt idx="6">
                  <c:v>2024-26</c:v>
                </c:pt>
              </c:strCache>
            </c:strRef>
          </c:cat>
          <c:val>
            <c:numRef>
              <c:f>'[1]Adhyatam Kendra'!$P$6:$P$12</c:f>
              <c:numCache>
                <c:formatCode>0.00</c:formatCode>
                <c:ptCount val="7"/>
                <c:pt idx="0">
                  <c:v>3.4950000000000001</c:v>
                </c:pt>
                <c:pt idx="1">
                  <c:v>8.0299999999999994</c:v>
                </c:pt>
                <c:pt idx="2">
                  <c:v>15.37</c:v>
                </c:pt>
                <c:pt idx="3">
                  <c:v>23.305</c:v>
                </c:pt>
                <c:pt idx="4">
                  <c:v>30.777000000000001</c:v>
                </c:pt>
                <c:pt idx="5">
                  <c:v>38.976999999999997</c:v>
                </c:pt>
                <c:pt idx="6">
                  <c:v>57.167000000000002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0798496"/>
        <c:axId val="-490794688"/>
      </c:barChart>
      <c:catAx>
        <c:axId val="-49079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rgbClr val="FF0000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8.5999935816022346E-2"/>
              <c:y val="0.77107629732019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94688"/>
        <c:crosses val="autoZero"/>
        <c:auto val="1"/>
        <c:lblAlgn val="ctr"/>
        <c:lblOffset val="100"/>
        <c:noMultiLvlLbl val="0"/>
      </c:catAx>
      <c:valAx>
        <c:axId val="-490794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rgbClr val="FF0000"/>
                    </a:solidFill>
                  </a:rPr>
                  <a:t>Accumulated Amount (in Lakh)</a:t>
                </a:r>
                <a:endParaRPr lang="en-US" sz="7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98496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Accumulated Ration Distribution amount</a:t>
            </a:r>
            <a:endParaRPr lang="en-US" sz="1100" b="1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7998968381651856"/>
          <c:y val="0.89814817602866559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8937007874016"/>
          <c:y val="6.8634441528142312E-2"/>
          <c:w val="0.81365507436570428"/>
          <c:h val="0.6500539515893846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'[1]Adhyatam Kendra'!$Y$5</c:f>
              <c:strCache>
                <c:ptCount val="1"/>
                <c:pt idx="0">
                  <c:v>Cum.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;[Red]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'[1]Adhyatam Kendra'!$W$6:$W$11</c:f>
              <c:strCache>
                <c:ptCount val="6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  <c:pt idx="5">
                  <c:v>2025-26</c:v>
                </c:pt>
              </c:strCache>
            </c:strRef>
          </c:cat>
          <c:val>
            <c:numRef>
              <c:f>'[1]Adhyatam Kendra'!$Y$6:$Y$11</c:f>
              <c:numCache>
                <c:formatCode>General</c:formatCode>
                <c:ptCount val="6"/>
                <c:pt idx="0">
                  <c:v>5.0212399999999997</c:v>
                </c:pt>
                <c:pt idx="1">
                  <c:v>17.682590000000001</c:v>
                </c:pt>
                <c:pt idx="2">
                  <c:v>39.401069999999997</c:v>
                </c:pt>
                <c:pt idx="3">
                  <c:v>56.474150000000002</c:v>
                </c:pt>
                <c:pt idx="4">
                  <c:v>81.123530000000002</c:v>
                </c:pt>
                <c:pt idx="5">
                  <c:v>107.01699000000001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490787616"/>
        <c:axId val="-4907979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'[1]Adhyatam Kendra'!$X$5</c15:sqref>
                        </c15:formulaRef>
                      </c:ext>
                    </c:extLst>
                    <c:strCache>
                      <c:ptCount val="1"/>
                      <c:pt idx="0">
                        <c:v>Amount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'[1]Adhyatam Kendra'!$W$6:$W$11</c15:sqref>
                        </c15:formulaRef>
                      </c:ext>
                    </c:extLst>
                    <c:strCache>
                      <c:ptCount val="6"/>
                      <c:pt idx="0">
                        <c:v>2020-21</c:v>
                      </c:pt>
                      <c:pt idx="1">
                        <c:v>2021-22</c:v>
                      </c:pt>
                      <c:pt idx="2">
                        <c:v>2022-23</c:v>
                      </c:pt>
                      <c:pt idx="3">
                        <c:v>2023-24</c:v>
                      </c:pt>
                      <c:pt idx="4">
                        <c:v>2024-25</c:v>
                      </c:pt>
                      <c:pt idx="5">
                        <c:v>2025-26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'[1]Adhyatam Kendra'!$X$6:$X$11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502124</c:v>
                      </c:pt>
                      <c:pt idx="1">
                        <c:v>1266135</c:v>
                      </c:pt>
                      <c:pt idx="2">
                        <c:v>2171848</c:v>
                      </c:pt>
                      <c:pt idx="3">
                        <c:v>1707308</c:v>
                      </c:pt>
                      <c:pt idx="4">
                        <c:v>2464938</c:v>
                      </c:pt>
                      <c:pt idx="5">
                        <c:v>2589346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-49078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rgbClr val="FF0000"/>
                    </a:solidFill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8.5999935816022346E-2"/>
              <c:y val="0.77107629732019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97952"/>
        <c:crosses val="autoZero"/>
        <c:auto val="1"/>
        <c:lblAlgn val="ctr"/>
        <c:lblOffset val="100"/>
        <c:noMultiLvlLbl val="0"/>
      </c:catAx>
      <c:valAx>
        <c:axId val="-490797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rgbClr val="FF0000"/>
                    </a:solidFill>
                  </a:rPr>
                  <a:t>Accumulated Amount (in Lakh)</a:t>
                </a:r>
                <a:endParaRPr lang="en-US" sz="700"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90787616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603249</xdr:colOff>
      <xdr:row>14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1</xdr:rowOff>
    </xdr:from>
    <xdr:to>
      <xdr:col>19</xdr:col>
      <xdr:colOff>349250</xdr:colOff>
      <xdr:row>15</xdr:row>
      <xdr:rowOff>6351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12</xdr:col>
      <xdr:colOff>603250</xdr:colOff>
      <xdr:row>32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203200</xdr:colOff>
      <xdr:row>17</xdr:row>
      <xdr:rowOff>1</xdr:rowOff>
    </xdr:from>
    <xdr:to>
      <xdr:col>19</xdr:col>
      <xdr:colOff>349250</xdr:colOff>
      <xdr:row>32</xdr:row>
      <xdr:rowOff>133350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</xdr:colOff>
      <xdr:row>35</xdr:row>
      <xdr:rowOff>1</xdr:rowOff>
    </xdr:from>
    <xdr:to>
      <xdr:col>13</xdr:col>
      <xdr:colOff>6351</xdr:colOff>
      <xdr:row>49</xdr:row>
      <xdr:rowOff>12701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107950</xdr:colOff>
      <xdr:row>35</xdr:row>
      <xdr:rowOff>0</xdr:rowOff>
    </xdr:from>
    <xdr:to>
      <xdr:col>19</xdr:col>
      <xdr:colOff>336550</xdr:colOff>
      <xdr:row>49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53</xdr:row>
      <xdr:rowOff>0</xdr:rowOff>
    </xdr:from>
    <xdr:to>
      <xdr:col>11</xdr:col>
      <xdr:colOff>574675</xdr:colOff>
      <xdr:row>70</xdr:row>
      <xdr:rowOff>70682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NIDWEEP/manidweep%20trust's%20work/updates%20for%20website/trust%20figures/All_Figures_till_2025-26_With_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VSWCT"/>
      <sheetName val="Maa Shardamani"/>
      <sheetName val="Adhyatam Kendra"/>
    </sheetNames>
    <sheetDataSet>
      <sheetData sheetId="0"/>
      <sheetData sheetId="1">
        <row r="5">
          <cell r="M5" t="str">
            <v>Girls</v>
          </cell>
          <cell r="P5" t="str">
            <v>Amount(in Lakhs)</v>
          </cell>
        </row>
        <row r="6">
          <cell r="L6" t="str">
            <v>1996-00</v>
          </cell>
          <cell r="M6">
            <v>6328</v>
          </cell>
          <cell r="O6" t="str">
            <v>1996-00</v>
          </cell>
          <cell r="P6">
            <v>27.281289999999998</v>
          </cell>
        </row>
        <row r="7">
          <cell r="L7" t="str">
            <v>2000-04</v>
          </cell>
          <cell r="M7">
            <v>11557</v>
          </cell>
          <cell r="O7" t="str">
            <v>2000-04</v>
          </cell>
          <cell r="P7">
            <v>58.575139999999998</v>
          </cell>
        </row>
        <row r="8">
          <cell r="L8" t="str">
            <v>2004-08</v>
          </cell>
          <cell r="M8">
            <v>15453</v>
          </cell>
          <cell r="O8" t="str">
            <v>2004-08</v>
          </cell>
          <cell r="P8">
            <v>80.124440000000007</v>
          </cell>
        </row>
        <row r="9">
          <cell r="L9" t="str">
            <v>2008-12</v>
          </cell>
          <cell r="M9">
            <v>18993</v>
          </cell>
          <cell r="O9" t="str">
            <v>2008-12</v>
          </cell>
          <cell r="P9">
            <v>105.41704</v>
          </cell>
        </row>
        <row r="10">
          <cell r="L10" t="str">
            <v>2012-16</v>
          </cell>
          <cell r="M10">
            <v>22453</v>
          </cell>
          <cell r="O10" t="str">
            <v>2012-16</v>
          </cell>
          <cell r="P10">
            <v>152.80153999999999</v>
          </cell>
        </row>
        <row r="11">
          <cell r="L11" t="str">
            <v>2016-20</v>
          </cell>
          <cell r="M11">
            <v>27032</v>
          </cell>
          <cell r="O11" t="str">
            <v>2016-20</v>
          </cell>
          <cell r="P11">
            <v>229.67634000000001</v>
          </cell>
        </row>
        <row r="12">
          <cell r="L12" t="str">
            <v>2020-24</v>
          </cell>
          <cell r="M12">
            <v>33233</v>
          </cell>
          <cell r="O12" t="str">
            <v>2020-24</v>
          </cell>
          <cell r="P12">
            <v>347.74968999999999</v>
          </cell>
        </row>
        <row r="13">
          <cell r="L13" t="str">
            <v>2024-26</v>
          </cell>
          <cell r="M13">
            <v>37381</v>
          </cell>
          <cell r="O13" t="str">
            <v>2024-26</v>
          </cell>
          <cell r="P13">
            <v>450.84224</v>
          </cell>
        </row>
      </sheetData>
      <sheetData sheetId="2">
        <row r="5">
          <cell r="M5" t="str">
            <v>Girls</v>
          </cell>
          <cell r="P5" t="str">
            <v>Amount(in Lakhs)</v>
          </cell>
        </row>
        <row r="6">
          <cell r="L6" t="str">
            <v>2001-05</v>
          </cell>
          <cell r="M6">
            <v>105</v>
          </cell>
          <cell r="O6" t="str">
            <v>2001-05</v>
          </cell>
          <cell r="P6">
            <v>1.329</v>
          </cell>
        </row>
        <row r="7">
          <cell r="L7" t="str">
            <v>2005-09</v>
          </cell>
          <cell r="M7">
            <v>171</v>
          </cell>
          <cell r="O7" t="str">
            <v>2005-09</v>
          </cell>
          <cell r="P7">
            <v>2.7711999999999999</v>
          </cell>
        </row>
        <row r="8">
          <cell r="L8" t="str">
            <v>2009-13</v>
          </cell>
          <cell r="M8">
            <v>640</v>
          </cell>
          <cell r="O8" t="str">
            <v>2009-13</v>
          </cell>
          <cell r="P8">
            <v>11.461399999999999</v>
          </cell>
        </row>
        <row r="9">
          <cell r="L9" t="str">
            <v>2013-17</v>
          </cell>
          <cell r="M9">
            <v>1417</v>
          </cell>
          <cell r="O9" t="str">
            <v>2013-17</v>
          </cell>
          <cell r="P9">
            <v>33.573399999999999</v>
          </cell>
        </row>
        <row r="10">
          <cell r="L10" t="str">
            <v>2017-21</v>
          </cell>
          <cell r="M10">
            <v>2240</v>
          </cell>
          <cell r="O10" t="str">
            <v>2017-21</v>
          </cell>
          <cell r="P10">
            <v>70.285899999999998</v>
          </cell>
        </row>
        <row r="11">
          <cell r="L11" t="str">
            <v>2021-25</v>
          </cell>
          <cell r="M11">
            <v>3109</v>
          </cell>
          <cell r="O11" t="str">
            <v>2021-25</v>
          </cell>
          <cell r="P11">
            <v>141.4059</v>
          </cell>
        </row>
        <row r="12">
          <cell r="L12" t="str">
            <v>2025-26</v>
          </cell>
          <cell r="M12">
            <v>3405</v>
          </cell>
          <cell r="O12" t="str">
            <v>2025-26</v>
          </cell>
          <cell r="P12">
            <v>164.56451000000001</v>
          </cell>
        </row>
      </sheetData>
      <sheetData sheetId="3">
        <row r="5">
          <cell r="M5" t="str">
            <v>Boys</v>
          </cell>
          <cell r="P5" t="str">
            <v>Amount</v>
          </cell>
          <cell r="X5" t="str">
            <v>Amount</v>
          </cell>
          <cell r="Y5" t="str">
            <v>Cum. Amount</v>
          </cell>
        </row>
        <row r="6">
          <cell r="L6" t="str">
            <v>2012-14</v>
          </cell>
          <cell r="M6">
            <v>68</v>
          </cell>
          <cell r="O6" t="str">
            <v>2012-14</v>
          </cell>
          <cell r="P6">
            <v>3.4950000000000001</v>
          </cell>
          <cell r="W6" t="str">
            <v>2020-21</v>
          </cell>
          <cell r="X6">
            <v>502124</v>
          </cell>
          <cell r="Y6">
            <v>5.0212399999999997</v>
          </cell>
        </row>
        <row r="7">
          <cell r="L7" t="str">
            <v>2014-16</v>
          </cell>
          <cell r="M7">
            <v>144</v>
          </cell>
          <cell r="O7" t="str">
            <v>2014-16</v>
          </cell>
          <cell r="P7">
            <v>8.0299999999999994</v>
          </cell>
          <cell r="W7" t="str">
            <v>2021-22</v>
          </cell>
          <cell r="X7">
            <v>1266135</v>
          </cell>
          <cell r="Y7">
            <v>17.682590000000001</v>
          </cell>
        </row>
        <row r="8">
          <cell r="L8" t="str">
            <v>2016-18</v>
          </cell>
          <cell r="M8">
            <v>263</v>
          </cell>
          <cell r="O8" t="str">
            <v>2016-18</v>
          </cell>
          <cell r="P8">
            <v>15.37</v>
          </cell>
          <cell r="W8" t="str">
            <v>2022-23</v>
          </cell>
          <cell r="X8">
            <v>2171848</v>
          </cell>
          <cell r="Y8">
            <v>39.401069999999997</v>
          </cell>
        </row>
        <row r="9">
          <cell r="L9" t="str">
            <v>2018-20</v>
          </cell>
          <cell r="M9">
            <v>362</v>
          </cell>
          <cell r="O9" t="str">
            <v>2018-20</v>
          </cell>
          <cell r="P9">
            <v>23.305</v>
          </cell>
          <cell r="W9" t="str">
            <v>2023-24</v>
          </cell>
          <cell r="X9">
            <v>1707308</v>
          </cell>
          <cell r="Y9">
            <v>56.474150000000002</v>
          </cell>
        </row>
        <row r="10">
          <cell r="L10" t="str">
            <v>2020-22</v>
          </cell>
          <cell r="M10">
            <v>456</v>
          </cell>
          <cell r="O10" t="str">
            <v>2020-22</v>
          </cell>
          <cell r="P10">
            <v>30.777000000000001</v>
          </cell>
          <cell r="W10" t="str">
            <v>2024-25</v>
          </cell>
          <cell r="X10">
            <v>2464938</v>
          </cell>
          <cell r="Y10">
            <v>81.123530000000002</v>
          </cell>
        </row>
        <row r="11">
          <cell r="L11" t="str">
            <v>2022-24</v>
          </cell>
          <cell r="M11">
            <v>532</v>
          </cell>
          <cell r="O11" t="str">
            <v>2022-24</v>
          </cell>
          <cell r="P11">
            <v>38.976999999999997</v>
          </cell>
          <cell r="W11" t="str">
            <v>2025-26</v>
          </cell>
          <cell r="X11">
            <v>2589346</v>
          </cell>
          <cell r="Y11">
            <v>107.01699000000001</v>
          </cell>
        </row>
        <row r="12">
          <cell r="L12" t="str">
            <v>2024-26</v>
          </cell>
          <cell r="M12">
            <v>631</v>
          </cell>
          <cell r="O12" t="str">
            <v>2024-26</v>
          </cell>
          <cell r="P12">
            <v>57.167000000000002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9"/>
  <sheetViews>
    <sheetView tabSelected="1" topLeftCell="A42" workbookViewId="0">
      <selection activeCell="E54" sqref="E54"/>
    </sheetView>
  </sheetViews>
  <sheetFormatPr defaultRowHeight="14.5" x14ac:dyDescent="0.35"/>
  <sheetData>
    <row r="2" spans="2:6" x14ac:dyDescent="0.35">
      <c r="B2" t="s">
        <v>12</v>
      </c>
    </row>
    <row r="3" spans="2:6" x14ac:dyDescent="0.35">
      <c r="B3" s="1" t="s">
        <v>0</v>
      </c>
      <c r="C3" s="1"/>
      <c r="D3" s="1"/>
      <c r="E3" s="1"/>
      <c r="F3" s="1"/>
    </row>
    <row r="4" spans="2:6" x14ac:dyDescent="0.35">
      <c r="B4" t="s">
        <v>1</v>
      </c>
      <c r="C4" t="s">
        <v>2</v>
      </c>
      <c r="E4" t="s">
        <v>1</v>
      </c>
      <c r="F4" t="s">
        <v>3</v>
      </c>
    </row>
    <row r="5" spans="2:6" x14ac:dyDescent="0.35">
      <c r="B5" t="s">
        <v>4</v>
      </c>
      <c r="C5">
        <v>6328</v>
      </c>
      <c r="E5" t="s">
        <v>4</v>
      </c>
      <c r="F5" s="2">
        <v>27.281289999999998</v>
      </c>
    </row>
    <row r="6" spans="2:6" x14ac:dyDescent="0.35">
      <c r="B6" t="s">
        <v>5</v>
      </c>
      <c r="C6">
        <v>11557</v>
      </c>
      <c r="E6" t="s">
        <v>5</v>
      </c>
      <c r="F6" s="2">
        <v>58.575139999999998</v>
      </c>
    </row>
    <row r="7" spans="2:6" x14ac:dyDescent="0.35">
      <c r="B7" t="s">
        <v>6</v>
      </c>
      <c r="C7">
        <v>15453</v>
      </c>
      <c r="E7" t="s">
        <v>6</v>
      </c>
      <c r="F7" s="2">
        <v>80.124440000000007</v>
      </c>
    </row>
    <row r="8" spans="2:6" x14ac:dyDescent="0.35">
      <c r="B8" t="s">
        <v>7</v>
      </c>
      <c r="C8">
        <v>18993</v>
      </c>
      <c r="E8" t="s">
        <v>7</v>
      </c>
      <c r="F8" s="2">
        <v>105.41704</v>
      </c>
    </row>
    <row r="9" spans="2:6" x14ac:dyDescent="0.35">
      <c r="B9" t="s">
        <v>8</v>
      </c>
      <c r="C9">
        <v>22453</v>
      </c>
      <c r="E9" t="s">
        <v>8</v>
      </c>
      <c r="F9" s="2">
        <v>152.80153999999999</v>
      </c>
    </row>
    <row r="10" spans="2:6" x14ac:dyDescent="0.35">
      <c r="B10" t="s">
        <v>9</v>
      </c>
      <c r="C10">
        <v>27032</v>
      </c>
      <c r="E10" t="s">
        <v>9</v>
      </c>
      <c r="F10" s="2">
        <v>229.67634000000001</v>
      </c>
    </row>
    <row r="11" spans="2:6" x14ac:dyDescent="0.35">
      <c r="B11" t="s">
        <v>10</v>
      </c>
      <c r="C11">
        <v>33233</v>
      </c>
      <c r="E11" t="s">
        <v>10</v>
      </c>
      <c r="F11" s="2">
        <v>347.74968999999999</v>
      </c>
    </row>
    <row r="12" spans="2:6" x14ac:dyDescent="0.35">
      <c r="B12" t="s">
        <v>11</v>
      </c>
      <c r="C12">
        <v>37381</v>
      </c>
      <c r="E12" t="s">
        <v>11</v>
      </c>
      <c r="F12" s="2">
        <v>450.84224</v>
      </c>
    </row>
    <row r="17" spans="2:6" x14ac:dyDescent="0.35">
      <c r="B17" t="s">
        <v>13</v>
      </c>
    </row>
    <row r="18" spans="2:6" x14ac:dyDescent="0.35">
      <c r="B18" s="1" t="s">
        <v>0</v>
      </c>
      <c r="C18" s="1"/>
      <c r="D18" s="1"/>
      <c r="E18" s="1"/>
      <c r="F18" s="1"/>
    </row>
    <row r="19" spans="2:6" x14ac:dyDescent="0.35">
      <c r="B19" s="3" t="s">
        <v>1</v>
      </c>
      <c r="C19" s="3" t="s">
        <v>2</v>
      </c>
      <c r="D19" s="3"/>
      <c r="E19" s="3" t="s">
        <v>1</v>
      </c>
      <c r="F19" s="3" t="s">
        <v>3</v>
      </c>
    </row>
    <row r="20" spans="2:6" x14ac:dyDescent="0.35">
      <c r="B20" t="s">
        <v>14</v>
      </c>
      <c r="C20">
        <v>105</v>
      </c>
      <c r="E20" t="s">
        <v>14</v>
      </c>
      <c r="F20" s="2">
        <v>1.329</v>
      </c>
    </row>
    <row r="21" spans="2:6" x14ac:dyDescent="0.35">
      <c r="B21" t="s">
        <v>15</v>
      </c>
      <c r="C21">
        <v>171</v>
      </c>
      <c r="E21" t="s">
        <v>15</v>
      </c>
      <c r="F21" s="2">
        <v>2.7711999999999999</v>
      </c>
    </row>
    <row r="22" spans="2:6" x14ac:dyDescent="0.35">
      <c r="B22" t="s">
        <v>16</v>
      </c>
      <c r="C22">
        <v>640</v>
      </c>
      <c r="E22" t="s">
        <v>16</v>
      </c>
      <c r="F22" s="2">
        <v>11.461399999999999</v>
      </c>
    </row>
    <row r="23" spans="2:6" x14ac:dyDescent="0.35">
      <c r="B23" t="s">
        <v>17</v>
      </c>
      <c r="C23">
        <v>1417</v>
      </c>
      <c r="E23" t="s">
        <v>17</v>
      </c>
      <c r="F23" s="2">
        <v>33.573399999999999</v>
      </c>
    </row>
    <row r="24" spans="2:6" x14ac:dyDescent="0.35">
      <c r="B24" t="s">
        <v>18</v>
      </c>
      <c r="C24">
        <v>2240</v>
      </c>
      <c r="E24" t="s">
        <v>18</v>
      </c>
      <c r="F24" s="2">
        <v>70.285899999999998</v>
      </c>
    </row>
    <row r="25" spans="2:6" x14ac:dyDescent="0.35">
      <c r="B25" t="s">
        <v>19</v>
      </c>
      <c r="C25">
        <v>3109</v>
      </c>
      <c r="E25" t="s">
        <v>19</v>
      </c>
      <c r="F25" s="2">
        <v>141.4059</v>
      </c>
    </row>
    <row r="26" spans="2:6" x14ac:dyDescent="0.35">
      <c r="B26" t="s">
        <v>20</v>
      </c>
      <c r="C26">
        <v>3405</v>
      </c>
      <c r="E26" t="s">
        <v>20</v>
      </c>
      <c r="F26" s="2">
        <v>164.56451000000001</v>
      </c>
    </row>
    <row r="34" spans="2:6" x14ac:dyDescent="0.35">
      <c r="B34" t="s">
        <v>28</v>
      </c>
    </row>
    <row r="35" spans="2:6" x14ac:dyDescent="0.35">
      <c r="B35" s="1" t="s">
        <v>0</v>
      </c>
      <c r="C35" s="1"/>
      <c r="D35" s="1"/>
      <c r="E35" s="1"/>
      <c r="F35" s="1"/>
    </row>
    <row r="36" spans="2:6" x14ac:dyDescent="0.35">
      <c r="B36" s="3" t="s">
        <v>1</v>
      </c>
      <c r="C36" s="3" t="s">
        <v>21</v>
      </c>
      <c r="D36" s="3"/>
      <c r="E36" s="3" t="s">
        <v>1</v>
      </c>
      <c r="F36" s="3" t="s">
        <v>3</v>
      </c>
    </row>
    <row r="37" spans="2:6" x14ac:dyDescent="0.35">
      <c r="B37" t="s">
        <v>22</v>
      </c>
      <c r="C37">
        <v>68</v>
      </c>
      <c r="E37" t="s">
        <v>22</v>
      </c>
      <c r="F37" s="2">
        <v>3.4950000000000001</v>
      </c>
    </row>
    <row r="38" spans="2:6" x14ac:dyDescent="0.35">
      <c r="B38" t="s">
        <v>23</v>
      </c>
      <c r="C38">
        <v>144</v>
      </c>
      <c r="E38" t="s">
        <v>23</v>
      </c>
      <c r="F38" s="2">
        <v>8.0299999999999994</v>
      </c>
    </row>
    <row r="39" spans="2:6" x14ac:dyDescent="0.35">
      <c r="B39" t="s">
        <v>24</v>
      </c>
      <c r="C39">
        <v>263</v>
      </c>
      <c r="E39" t="s">
        <v>24</v>
      </c>
      <c r="F39" s="2">
        <v>15.37</v>
      </c>
    </row>
    <row r="40" spans="2:6" x14ac:dyDescent="0.35">
      <c r="B40" t="s">
        <v>25</v>
      </c>
      <c r="C40">
        <v>362</v>
      </c>
      <c r="E40" t="s">
        <v>25</v>
      </c>
      <c r="F40" s="2">
        <v>23.305</v>
      </c>
    </row>
    <row r="41" spans="2:6" x14ac:dyDescent="0.35">
      <c r="B41" t="s">
        <v>26</v>
      </c>
      <c r="C41">
        <v>456</v>
      </c>
      <c r="E41" t="s">
        <v>26</v>
      </c>
      <c r="F41" s="2">
        <v>30.777000000000001</v>
      </c>
    </row>
    <row r="42" spans="2:6" x14ac:dyDescent="0.35">
      <c r="B42" t="s">
        <v>27</v>
      </c>
      <c r="C42">
        <v>532</v>
      </c>
      <c r="E42" t="s">
        <v>27</v>
      </c>
      <c r="F42" s="2">
        <v>38.976999999999997</v>
      </c>
    </row>
    <row r="43" spans="2:6" x14ac:dyDescent="0.35">
      <c r="B43" t="s">
        <v>11</v>
      </c>
      <c r="C43">
        <v>631</v>
      </c>
      <c r="E43" t="s">
        <v>11</v>
      </c>
      <c r="F43" s="2">
        <v>57.167000000000002</v>
      </c>
    </row>
    <row r="52" spans="2:3" x14ac:dyDescent="0.35">
      <c r="B52" s="3" t="s">
        <v>34</v>
      </c>
    </row>
    <row r="53" spans="2:3" x14ac:dyDescent="0.35">
      <c r="B53" s="3" t="s">
        <v>1</v>
      </c>
      <c r="C53" s="3" t="s">
        <v>3</v>
      </c>
    </row>
    <row r="54" spans="2:3" x14ac:dyDescent="0.35">
      <c r="B54" t="s">
        <v>29</v>
      </c>
      <c r="C54">
        <v>5.0212399999999997</v>
      </c>
    </row>
    <row r="55" spans="2:3" x14ac:dyDescent="0.35">
      <c r="B55" t="s">
        <v>30</v>
      </c>
      <c r="C55">
        <v>17.682590000000001</v>
      </c>
    </row>
    <row r="56" spans="2:3" x14ac:dyDescent="0.35">
      <c r="B56" t="s">
        <v>31</v>
      </c>
      <c r="C56">
        <v>39.401069999999997</v>
      </c>
    </row>
    <row r="57" spans="2:3" x14ac:dyDescent="0.35">
      <c r="B57" t="s">
        <v>32</v>
      </c>
      <c r="C57">
        <v>56.474150000000002</v>
      </c>
    </row>
    <row r="58" spans="2:3" x14ac:dyDescent="0.35">
      <c r="B58" t="s">
        <v>33</v>
      </c>
      <c r="C58">
        <v>81.123530000000002</v>
      </c>
    </row>
    <row r="59" spans="2:3" x14ac:dyDescent="0.35">
      <c r="B59" t="s">
        <v>20</v>
      </c>
      <c r="C59">
        <v>107.01699000000001</v>
      </c>
    </row>
  </sheetData>
  <mergeCells count="3">
    <mergeCell ref="B3:F3"/>
    <mergeCell ref="B18:F18"/>
    <mergeCell ref="B35:F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</dc:creator>
  <cp:lastModifiedBy>Advik</cp:lastModifiedBy>
  <dcterms:created xsi:type="dcterms:W3CDTF">2026-08-07T08:22:58Z</dcterms:created>
  <dcterms:modified xsi:type="dcterms:W3CDTF">2026-08-07T08:32:05Z</dcterms:modified>
</cp:coreProperties>
</file>